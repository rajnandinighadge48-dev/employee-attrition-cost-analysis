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R ANALYTICS PORTFOLIO\EMPLOYEE_ATTRITION_COST_ANALYSIS\Excel\"/>
    </mc:Choice>
  </mc:AlternateContent>
  <xr:revisionPtr revIDLastSave="0" documentId="8_{B96648A3-4755-4CEF-9903-C6BAF56B3D13}" xr6:coauthVersionLast="47" xr6:coauthVersionMax="47" xr10:uidLastSave="{00000000-0000-0000-0000-000000000000}"/>
  <bookViews>
    <workbookView xWindow="-120" yWindow="-120" windowWidth="20730" windowHeight="11040" xr2:uid="{6AD50DE0-1176-4174-8813-37D54B38FBCA}"/>
  </bookViews>
  <sheets>
    <sheet name="Raw_Data" sheetId="1" r:id="rId1"/>
    <sheet name="Analysis" sheetId="2" r:id="rId2"/>
    <sheet name="Department_Analysis" sheetId="3" r:id="rId3"/>
    <sheet name="Attrition_ Reason" sheetId="4" r:id="rId4"/>
    <sheet name="Overtime_ Analysis" sheetId="5" r:id="rId5"/>
    <sheet name="Salary_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 a="1"/>
  <c r="B6" i="6" s="1"/>
  <c r="B5" i="6" a="1"/>
  <c r="B5" i="6" s="1"/>
  <c r="B4" i="6"/>
  <c r="B3" i="6"/>
  <c r="B2" i="6"/>
  <c r="D3" i="5"/>
  <c r="D2" i="5"/>
  <c r="C3" i="5" a="1"/>
  <c r="C3" i="5" s="1"/>
  <c r="C2" i="5" a="1"/>
  <c r="C2" i="5" s="1"/>
  <c r="B3" i="5"/>
  <c r="B2" i="5"/>
  <c r="B5" i="4"/>
  <c r="B4" i="4"/>
  <c r="B3" i="4"/>
  <c r="B2" i="4"/>
  <c r="D8" i="3"/>
  <c r="D3" i="3"/>
  <c r="D4" i="3"/>
  <c r="D5" i="3"/>
  <c r="D6" i="3"/>
  <c r="D7" i="3"/>
  <c r="D2" i="3"/>
  <c r="B8" i="3"/>
  <c r="C7" i="3"/>
  <c r="C6" i="3"/>
  <c r="C5" i="3"/>
  <c r="C4" i="3"/>
  <c r="C3" i="3"/>
  <c r="C2" i="3"/>
  <c r="B3" i="3"/>
  <c r="B4" i="3"/>
  <c r="B5" i="3"/>
  <c r="B6" i="3"/>
  <c r="B7" i="3"/>
  <c r="B2" i="3"/>
  <c r="B7" i="2"/>
  <c r="B6" i="2"/>
  <c r="B5" i="2"/>
  <c r="B4" i="2"/>
  <c r="B3" i="2"/>
  <c r="B2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C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<sst xmlns="http://schemas.openxmlformats.org/spreadsheetml/2006/main" count="157" uniqueCount="76">
  <si>
    <t>Department</t>
  </si>
  <si>
    <t>Job_Role</t>
  </si>
  <si>
    <t>Gender</t>
  </si>
  <si>
    <t>Age</t>
  </si>
  <si>
    <t>Monthly-Salary</t>
  </si>
  <si>
    <t>Months-Worked</t>
  </si>
  <si>
    <t>Training Cost</t>
  </si>
  <si>
    <t>Job-Satisfaction</t>
  </si>
  <si>
    <t>Performance-Rating</t>
  </si>
  <si>
    <t>Overtime</t>
  </si>
  <si>
    <t>Attrition</t>
  </si>
  <si>
    <t>Attrition-Reason</t>
  </si>
  <si>
    <t>Employee-ID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</si>
  <si>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</si>
  <si>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</si>
  <si>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</si>
  <si>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</si>
  <si>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</si>
  <si>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</si>
  <si>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</si>
  <si>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</si>
  <si>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</si>
  <si>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</si>
  <si>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</si>
  <si>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</si>
  <si>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</si>
  <si>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</si>
  <si>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</si>
  <si>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IT</t>
  </si>
  <si>
    <t>HR</t>
  </si>
  <si>
    <t>Finance</t>
  </si>
  <si>
    <t>Sales</t>
  </si>
  <si>
    <t>Marketing</t>
  </si>
  <si>
    <t>Operations</t>
  </si>
  <si>
    <t>Data Analyst</t>
  </si>
  <si>
    <t xml:space="preserve"> HR Executive</t>
  </si>
  <si>
    <t>Sales Executive</t>
  </si>
  <si>
    <t>HR Executive</t>
  </si>
  <si>
    <t>Marketing Executive</t>
  </si>
  <si>
    <t>Operations Executive</t>
  </si>
  <si>
    <t>Financial Analyst</t>
  </si>
  <si>
    <t>Software Developer</t>
  </si>
  <si>
    <t>Recruiter</t>
  </si>
  <si>
    <t>Accountant</t>
  </si>
  <si>
    <t>Sales Manager</t>
  </si>
  <si>
    <t>Marketing Analyst</t>
  </si>
  <si>
    <t>Operations manager</t>
  </si>
  <si>
    <t>Female</t>
  </si>
  <si>
    <t>Male</t>
  </si>
  <si>
    <t>No</t>
  </si>
  <si>
    <t>Yes</t>
  </si>
  <si>
    <t>-</t>
  </si>
  <si>
    <t>Work load</t>
  </si>
  <si>
    <t>Career Growth</t>
  </si>
  <si>
    <t>Low Satisfaction</t>
  </si>
  <si>
    <t>Better Opportunity</t>
  </si>
  <si>
    <t>Total-Loss</t>
  </si>
  <si>
    <t>Metric</t>
  </si>
  <si>
    <t>Value</t>
  </si>
  <si>
    <t>Total Employees</t>
  </si>
  <si>
    <t>Total Attrition</t>
  </si>
  <si>
    <t>Attrition Rate</t>
  </si>
  <si>
    <t>Average Monthly Salary</t>
  </si>
  <si>
    <t>Total Training Cost</t>
  </si>
  <si>
    <t>Total Loss</t>
  </si>
  <si>
    <t>Employees</t>
  </si>
  <si>
    <t>Attrition_Rate</t>
  </si>
  <si>
    <t>Total</t>
  </si>
  <si>
    <t>Attrition Reason</t>
  </si>
  <si>
    <t xml:space="preserve"> Work Load</t>
  </si>
  <si>
    <t xml:space="preserve"> Salary Metric</t>
  </si>
  <si>
    <t>Minimum Salary</t>
  </si>
  <si>
    <t>Maximum Salary</t>
  </si>
  <si>
    <t xml:space="preserve"> Average Monthly Salary</t>
  </si>
  <si>
    <t xml:space="preserve"> Average Monthly Salary- Attrition</t>
  </si>
  <si>
    <t xml:space="preserve"> Average Monthly Salary- No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</si>
</sst>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9" fontId="0" fillId="2" borderId="0" xfId="1" applyFont="1" applyFill="1"/>
    <xf numFmtId="0" fontId="1" fillId="3" borderId="0" xfId="0" applyFont="1" applyFill="1"/>
    <xf numFmtId="0" fontId="0" fillId="3" borderId="0" xfId="0" applyFill="1"/>
    <xf numFmtId="9" fontId="0" fillId="3" borderId="0" xfId="1" applyFont="1" applyFill="1"/>
    <xf numFmtId="0" fontId="0" fillId="4" borderId="0" xfId="0" applyFill="1"/>
    <xf numFmtId="9" fontId="0" fillId="4" borderId="0" xfId="1" applyFont="1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10" fontId="0" fillId="6" borderId="0" xfId="1" applyNumberFormat="1" applyFont="1" applyFill="1"/>
    <xf numFmtId="164" fontId="0" fillId="6" borderId="0" xfId="0" applyNumberFormat="1" applyFill="1"/>
    <xf numFmtId="44" fontId="0" fillId="6" borderId="0" xfId="0" applyNumberFormat="1" applyFill="1"/>
    <xf numFmtId="0" fontId="0" fillId="7" borderId="0" xfId="0" applyFill="1"/>
    <xf numFmtId="44" fontId="0" fillId="7" borderId="0" xfId="0" applyNumberFormat="1" applyFill="1"/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1" fillId="9" borderId="0" xfId="0" applyFont="1" applyFill="1"/>
    <xf numFmtId="0" fontId="1" fillId="11" borderId="0" xfId="0" applyFont="1" applyFill="1"/>
    <xf numFmtId="164" fontId="0" fillId="6" borderId="0" xfId="1" applyNumberFormat="1" applyFont="1" applyFill="1"/>
    <xf numFmtId="164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</a:t>
            </a:r>
            <a:r>
              <a:rPr lang="en-IN" baseline="0"/>
              <a:t> ATTRITION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Department_Analysis!$B$1</c:f>
              <c:strCache>
                <c:ptCount val="1"/>
                <c:pt idx="0">
                  <c:v>Employees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Department_Analysis!$A$2:$A$7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Department_Analysis!$B$2:$B$7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2-4814-94F2-43775FFAF5EF}"/>
            </c:ext>
          </c:extLst>
        </c:ser>
        <c:ser>
          <c:idx val="1"/>
          <c:order val="1"/>
          <c:tx>
            <c:strRef>
              <c:f>Department_Analysis!$C$1</c:f>
              <c:strCache>
                <c:ptCount val="1"/>
                <c:pt idx="0">
                  <c:v>Attrition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Department_Analysis!$A$2:$A$7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Department_Analysis!$C$2:$C$7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2-4814-94F2-43775FFAF5EF}"/>
            </c:ext>
          </c:extLst>
        </c:ser>
        <c:ser>
          <c:idx val="2"/>
          <c:order val="2"/>
          <c:tx>
            <c:strRef>
              <c:f>Department_Analysis!$D$1</c:f>
              <c:strCache>
                <c:ptCount val="1"/>
                <c:pt idx="0">
                  <c:v>Attrition_Rate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Department_Analysis!$A$2:$A$7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Department_Analysis!$D$2:$D$7</c:f>
              <c:numCache>
                <c:formatCode>0%</c:formatCode>
                <c:ptCount val="6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2-4814-94F2-43775FFAF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2681328"/>
        <c:axId val="12695056"/>
      </c:barChart>
      <c:catAx>
        <c:axId val="1268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056"/>
        <c:crosses val="autoZero"/>
        <c:auto val="1"/>
        <c:lblAlgn val="ctr"/>
        <c:lblOffset val="100"/>
        <c:noMultiLvlLbl val="0"/>
      </c:catAx>
      <c:valAx>
        <c:axId val="1269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Reason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'Attrition_ Reason'!$B$1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'Attrition_ Reason'!$A$2:$A$5</c:f>
              <c:strCache>
                <c:ptCount val="4"/>
                <c:pt idx="0">
                  <c:v> Work Load</c:v>
                </c:pt>
                <c:pt idx="1">
                  <c:v>Low Satisfaction</c:v>
                </c:pt>
                <c:pt idx="2">
                  <c:v>Career Growth</c:v>
                </c:pt>
                <c:pt idx="3">
                  <c:v>Better Opportunity</c:v>
                </c:pt>
              </c:strCache>
            </c:strRef>
          </c:cat>
          <c:val>
            <c:numRef>
              <c:f>'Attrition_ Reason'!$B$2:$B$5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8-4017-B8D5-5A320D06D1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2392224"/>
        <c:axId val="2024266400"/>
      </c:barChart>
      <c:catAx>
        <c:axId val="202239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66400"/>
        <c:crosses val="autoZero"/>
        <c:auto val="1"/>
        <c:lblAlgn val="ctr"/>
        <c:lblOffset val="100"/>
        <c:noMultiLvlLbl val="0"/>
      </c:catAx>
      <c:valAx>
        <c:axId val="20242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9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3</xdr:row>
      <xdr:rowOff>80962</xdr:rowOff>
    </xdr:from>
    <xdr:to>
      <xdr:col>13</xdr:col>
      <xdr:colOff>219075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26501F-1981-BB9B-9E65-B10AB4495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3</xdr:row>
      <xdr:rowOff>109537</xdr:rowOff>
    </xdr:from>
    <xdr:to>
      <xdr:col>12</xdr:col>
      <xdr:colOff>542925</xdr:colOff>
      <xdr:row>17</xdr:row>
      <xdr:rowOff>185737</xdr:rowOff>
    </xdr:to>
    <xdr:graphicFrame macro="">
      <xdr:nvGraphicFramePr>
        <xdr:cNvPr id="2" name="Attrition Reason">
          <a:extLst>
            <a:ext uri="{FF2B5EF4-FFF2-40B4-BE49-F238E27FC236}">
              <a16:creationId xmlns:a16="http://schemas.microsoft.com/office/drawing/2014/main" id="{EB9F5B56-BC57-5E42-2D53-834AD9654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8E4B1-6926-4A91-87AB-6891D369FF41}" name="Table1" displayName="Table1" ref="A1:N16" totalsRowShown="0" headerRowDxfId="3">
  <autoFilter ref="A1:N16" xr:uid="{9578E4B1-6926-4A91-87AB-6891D369FF41}"/>
  <tableColumns count="14">
    <tableColumn id="1" xr3:uid="{4F5523A3-AA68-4310-8546-0F8F50B2FDD1}" name="Employee-ID"/>
    <tableColumn id="2" xr3:uid="{AC41C43F-2862-4FF7-B0E8-4BDBD2D5D0DD}" name="Department"/>
    <tableColumn id="3" xr3:uid="{94EBC9C7-5291-41E9-985C-3832D6BC0B47}" name="Job_Role"/>
    <tableColumn id="4" xr3:uid="{9B2E0EF0-8C0B-408F-BE57-4BDBAAD9DDC9}" name="Gender"/>
    <tableColumn id="5" xr3:uid="{2ED7B62C-3972-42A4-8571-14D89997A25A}" name="Age"/>
    <tableColumn id="6" xr3:uid="{171958E3-0E7D-419C-8B4D-6D5E6B3BA1CA}" name="Monthly-Salary" dataDxfId="2"/>
    <tableColumn id="7" xr3:uid="{F4F9E001-10BD-4021-AC69-25842937F9EB}" name="Months-Worked"/>
    <tableColumn id="8" xr3:uid="{CEE1E331-CD02-4B85-824A-8A274A2A40DA}" name="Training Cost" dataDxfId="1"/>
    <tableColumn id="9" xr3:uid="{551BF372-1554-4F3B-B673-D74151B13F30}" name="Job-Satisfaction"/>
    <tableColumn id="10" xr3:uid="{69AFBBA5-12C5-4487-B5C1-E1BB02DFF320}" name="Performance-Rating"/>
    <tableColumn id="11" xr3:uid="{480A2397-AB46-4DBE-BD7B-B09AAB56C009}" name="Overtime"/>
    <tableColumn id="12" xr3:uid="{9363B81E-974A-4568-BA8A-4EEA31B00678}" name="Attrition"/>
    <tableColumn id="13" xr3:uid="{70D9012C-D47B-405D-ABA7-BF823F4790A4}" name="Attrition-Reason"/>
    <tableColumn id="14" xr3:uid="{709143EF-02C9-46F1-8DD8-2FB1F44921A7}" name="Total-Loss" dataDxfId="0">
      <calculatedColumnFormula>F2*G2+H2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2F00-753F-40FF-ACB9-78EEBDC57C31}">
  <dimension ref="A1:N16"/>
  <sheetViews>
    <sheetView tabSelected="1" topLeftCell="C1" workbookViewId="0">
      <pane ySplit="1" topLeftCell="A2" activePane="bottomLeft" state="frozen"/>
      <selection pane="bottomLeft" sqref="A1:N16"/>
    </sheetView>
  </sheetViews>
  <sheetFormatPr defaultRowHeight="15" x14ac:dyDescent="0.25"/>
  <cols>
    <col min="1" max="1" width="14.5703125" customWidth="1"/>
    <col min="2" max="2" width="13.85546875" customWidth="1"/>
    <col min="3" max="3" width="20.140625" bestFit="1" customWidth="1"/>
    <col min="4" max="4" width="9.85546875" customWidth="1"/>
    <col min="6" max="6" width="16.7109375" customWidth="1"/>
    <col min="7" max="7" width="17.85546875" customWidth="1"/>
    <col min="8" max="8" width="14.5703125" customWidth="1"/>
    <col min="9" max="9" width="17.140625" customWidth="1"/>
    <col min="10" max="10" width="20.85546875" customWidth="1"/>
    <col min="11" max="11" width="11.5703125" customWidth="1"/>
    <col min="12" max="12" width="10.7109375" customWidth="1"/>
    <col min="13" max="13" width="18.140625" bestFit="1" customWidth="1"/>
    <col min="14" max="14" width="13.42578125" bestFit="1" customWidth="1"/>
  </cols>
  <sheetData>
    <row r="1" spans="1:14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56</v>
      </c>
    </row>
    <row r="2" spans="1:14" x14ac:dyDescent="0.25">
      <c r="A2" t="s">
        <v>13</v>
      </c>
      <c r="B2" t="s">
        <v>28</v>
      </c>
      <c r="C2" t="s">
        <v>34</v>
      </c>
      <c r="D2" t="s">
        <v>47</v>
      </c>
      <c r="E2">
        <v>24</v>
      </c>
      <c r="F2" s="24">
        <v>45000</v>
      </c>
      <c r="G2">
        <v>18</v>
      </c>
      <c r="H2" s="24">
        <v>30000</v>
      </c>
      <c r="I2">
        <v>4</v>
      </c>
      <c r="J2">
        <v>4</v>
      </c>
      <c r="K2" t="s">
        <v>49</v>
      </c>
      <c r="L2" t="s">
        <v>49</v>
      </c>
      <c r="M2" t="s">
        <v>51</v>
      </c>
      <c r="N2" s="24">
        <f t="shared" ref="N2:N16" si="0">F2*G2+H2</f>
        <v>840000</v>
      </c>
    </row>
    <row r="3" spans="1:14" x14ac:dyDescent="0.25">
      <c r="A3" t="s">
        <v>14</v>
      </c>
      <c r="B3" t="s">
        <v>29</v>
      </c>
      <c r="C3" t="s">
        <v>35</v>
      </c>
      <c r="D3" t="s">
        <v>47</v>
      </c>
      <c r="E3">
        <v>26</v>
      </c>
      <c r="F3" s="24">
        <v>38000</v>
      </c>
      <c r="G3">
        <v>12</v>
      </c>
      <c r="H3" s="24">
        <v>25000</v>
      </c>
      <c r="I3">
        <v>3</v>
      </c>
      <c r="J3">
        <v>3</v>
      </c>
      <c r="K3" t="s">
        <v>50</v>
      </c>
      <c r="L3" t="s">
        <v>50</v>
      </c>
      <c r="M3" t="s">
        <v>52</v>
      </c>
      <c r="N3" s="24">
        <f t="shared" si="0"/>
        <v>481000</v>
      </c>
    </row>
    <row r="4" spans="1:14" x14ac:dyDescent="0.25">
      <c r="A4" t="s">
        <v>15</v>
      </c>
      <c r="B4" t="s">
        <v>30</v>
      </c>
      <c r="C4" t="s">
        <v>40</v>
      </c>
      <c r="D4" t="s">
        <v>48</v>
      </c>
      <c r="E4">
        <v>29</v>
      </c>
      <c r="F4" s="24">
        <v>62000</v>
      </c>
      <c r="G4">
        <v>36</v>
      </c>
      <c r="H4" s="24">
        <v>40000</v>
      </c>
      <c r="I4">
        <v>5</v>
      </c>
      <c r="J4">
        <v>5</v>
      </c>
      <c r="K4" t="s">
        <v>49</v>
      </c>
      <c r="L4" t="s">
        <v>49</v>
      </c>
      <c r="M4" t="s">
        <v>51</v>
      </c>
      <c r="N4" s="24">
        <f t="shared" si="0"/>
        <v>2272000</v>
      </c>
    </row>
    <row r="5" spans="1:14" x14ac:dyDescent="0.25">
      <c r="A5" t="s">
        <v>16</v>
      </c>
      <c r="B5" t="s">
        <v>31</v>
      </c>
      <c r="C5" t="s">
        <v>36</v>
      </c>
      <c r="D5" t="s">
        <v>48</v>
      </c>
      <c r="E5">
        <v>25</v>
      </c>
      <c r="F5" s="24">
        <v>35000</v>
      </c>
      <c r="G5">
        <v>8</v>
      </c>
      <c r="H5" s="24">
        <v>20000</v>
      </c>
      <c r="I5">
        <v>2</v>
      </c>
      <c r="J5">
        <v>3</v>
      </c>
      <c r="K5" t="s">
        <v>50</v>
      </c>
      <c r="L5" t="s">
        <v>50</v>
      </c>
      <c r="M5" t="s">
        <v>54</v>
      </c>
      <c r="N5" s="24">
        <f t="shared" si="0"/>
        <v>300000</v>
      </c>
    </row>
    <row r="6" spans="1:14" x14ac:dyDescent="0.25">
      <c r="A6" t="s">
        <v>17</v>
      </c>
      <c r="B6" t="s">
        <v>28</v>
      </c>
      <c r="C6" t="s">
        <v>41</v>
      </c>
      <c r="D6" t="s">
        <v>48</v>
      </c>
      <c r="E6">
        <v>31</v>
      </c>
      <c r="F6" s="24">
        <v>75000</v>
      </c>
      <c r="G6">
        <v>48</v>
      </c>
      <c r="H6" s="24">
        <v>50000</v>
      </c>
      <c r="I6">
        <v>4</v>
      </c>
      <c r="J6">
        <v>4</v>
      </c>
      <c r="K6" t="s">
        <v>49</v>
      </c>
      <c r="L6" t="s">
        <v>49</v>
      </c>
      <c r="M6" t="s">
        <v>51</v>
      </c>
      <c r="N6" s="24">
        <f t="shared" si="0"/>
        <v>3650000</v>
      </c>
    </row>
    <row r="7" spans="1:14" x14ac:dyDescent="0.25">
      <c r="A7" t="s">
        <v>18</v>
      </c>
      <c r="B7" t="s">
        <v>29</v>
      </c>
      <c r="C7" t="s">
        <v>42</v>
      </c>
      <c r="D7" t="s">
        <v>47</v>
      </c>
      <c r="E7">
        <v>27</v>
      </c>
      <c r="F7" s="24">
        <v>42000</v>
      </c>
      <c r="G7">
        <v>15</v>
      </c>
      <c r="H7" s="24">
        <v>28000</v>
      </c>
      <c r="I7">
        <v>3</v>
      </c>
      <c r="J7">
        <v>3</v>
      </c>
      <c r="K7" t="s">
        <v>49</v>
      </c>
      <c r="L7" t="s">
        <v>50</v>
      </c>
      <c r="M7" t="s">
        <v>53</v>
      </c>
      <c r="N7" s="24">
        <f t="shared" si="0"/>
        <v>658000</v>
      </c>
    </row>
    <row r="8" spans="1:14" x14ac:dyDescent="0.25">
      <c r="A8" t="s">
        <v>19</v>
      </c>
      <c r="B8" t="s">
        <v>32</v>
      </c>
      <c r="C8" t="s">
        <v>38</v>
      </c>
      <c r="D8" t="s">
        <v>47</v>
      </c>
      <c r="E8">
        <v>23</v>
      </c>
      <c r="F8" s="24">
        <v>36000</v>
      </c>
      <c r="G8">
        <v>10</v>
      </c>
      <c r="H8" s="24">
        <v>22000</v>
      </c>
      <c r="I8">
        <v>2</v>
      </c>
      <c r="J8">
        <v>3</v>
      </c>
      <c r="K8" t="s">
        <v>50</v>
      </c>
      <c r="L8" t="s">
        <v>50</v>
      </c>
      <c r="M8" t="s">
        <v>52</v>
      </c>
      <c r="N8" s="24">
        <f t="shared" si="0"/>
        <v>382000</v>
      </c>
    </row>
    <row r="9" spans="1:14" x14ac:dyDescent="0.25">
      <c r="A9" t="s">
        <v>20</v>
      </c>
      <c r="B9" t="s">
        <v>33</v>
      </c>
      <c r="C9" t="s">
        <v>39</v>
      </c>
      <c r="D9" t="s">
        <v>48</v>
      </c>
      <c r="E9">
        <v>30</v>
      </c>
      <c r="F9" s="24">
        <v>48000</v>
      </c>
      <c r="G9">
        <v>30</v>
      </c>
      <c r="H9" s="24">
        <v>35000</v>
      </c>
      <c r="I9">
        <v>4</v>
      </c>
      <c r="J9">
        <v>4</v>
      </c>
      <c r="K9" t="s">
        <v>49</v>
      </c>
      <c r="L9" t="s">
        <v>49</v>
      </c>
      <c r="M9" t="s">
        <v>51</v>
      </c>
      <c r="N9" s="24">
        <f t="shared" si="0"/>
        <v>1475000</v>
      </c>
    </row>
    <row r="10" spans="1:14" x14ac:dyDescent="0.25">
      <c r="A10" t="s">
        <v>21</v>
      </c>
      <c r="B10" t="s">
        <v>28</v>
      </c>
      <c r="C10" t="s">
        <v>34</v>
      </c>
      <c r="D10" t="s">
        <v>47</v>
      </c>
      <c r="E10">
        <v>28</v>
      </c>
      <c r="F10" s="24">
        <v>55000</v>
      </c>
      <c r="G10">
        <v>24</v>
      </c>
      <c r="H10" s="24">
        <v>32000</v>
      </c>
      <c r="I10">
        <v>3</v>
      </c>
      <c r="J10">
        <v>4</v>
      </c>
      <c r="K10" t="s">
        <v>50</v>
      </c>
      <c r="L10" t="s">
        <v>49</v>
      </c>
      <c r="M10" t="s">
        <v>51</v>
      </c>
      <c r="N10" s="24">
        <f t="shared" si="0"/>
        <v>1352000</v>
      </c>
    </row>
    <row r="11" spans="1:14" x14ac:dyDescent="0.25">
      <c r="A11" t="s">
        <v>22</v>
      </c>
      <c r="B11" t="s">
        <v>30</v>
      </c>
      <c r="C11" t="s">
        <v>43</v>
      </c>
      <c r="D11" t="s">
        <v>47</v>
      </c>
      <c r="E11">
        <v>32</v>
      </c>
      <c r="F11" s="24">
        <v>52000</v>
      </c>
      <c r="G11">
        <v>60</v>
      </c>
      <c r="H11" s="24">
        <v>45000</v>
      </c>
      <c r="I11">
        <v>5</v>
      </c>
      <c r="J11">
        <v>5</v>
      </c>
      <c r="K11" t="s">
        <v>49</v>
      </c>
      <c r="L11" t="s">
        <v>49</v>
      </c>
      <c r="M11" t="s">
        <v>51</v>
      </c>
      <c r="N11" s="24">
        <f t="shared" si="0"/>
        <v>3165000</v>
      </c>
    </row>
    <row r="12" spans="1:14" x14ac:dyDescent="0.25">
      <c r="A12" t="s">
        <v>23</v>
      </c>
      <c r="B12" t="s">
        <v>31</v>
      </c>
      <c r="C12" t="s">
        <v>44</v>
      </c>
      <c r="D12" t="s">
        <v>48</v>
      </c>
      <c r="E12">
        <v>35</v>
      </c>
      <c r="F12" s="24">
        <v>68000</v>
      </c>
      <c r="G12">
        <v>72</v>
      </c>
      <c r="H12" s="24">
        <v>55000</v>
      </c>
      <c r="I12">
        <v>4</v>
      </c>
      <c r="J12">
        <v>4</v>
      </c>
      <c r="K12" t="s">
        <v>49</v>
      </c>
      <c r="L12" t="s">
        <v>49</v>
      </c>
      <c r="M12" t="s">
        <v>51</v>
      </c>
      <c r="N12" s="24">
        <f t="shared" si="0"/>
        <v>4951000</v>
      </c>
    </row>
    <row r="13" spans="1:14" x14ac:dyDescent="0.25">
      <c r="A13" t="s">
        <v>24</v>
      </c>
      <c r="B13" t="s">
        <v>29</v>
      </c>
      <c r="C13" t="s">
        <v>37</v>
      </c>
      <c r="D13" t="s">
        <v>48</v>
      </c>
      <c r="E13">
        <v>24</v>
      </c>
      <c r="F13" s="24">
        <v>40000</v>
      </c>
      <c r="G13">
        <v>9</v>
      </c>
      <c r="H13" s="24">
        <v>24000</v>
      </c>
      <c r="I13">
        <v>2</v>
      </c>
      <c r="J13">
        <v>2</v>
      </c>
      <c r="K13" t="s">
        <v>50</v>
      </c>
      <c r="L13" t="s">
        <v>50</v>
      </c>
      <c r="M13" t="s">
        <v>54</v>
      </c>
      <c r="N13" s="24">
        <f t="shared" si="0"/>
        <v>384000</v>
      </c>
    </row>
    <row r="14" spans="1:14" x14ac:dyDescent="0.25">
      <c r="A14" t="s">
        <v>25</v>
      </c>
      <c r="B14" t="s">
        <v>28</v>
      </c>
      <c r="C14" t="s">
        <v>41</v>
      </c>
      <c r="D14" t="s">
        <v>47</v>
      </c>
      <c r="E14">
        <v>27</v>
      </c>
      <c r="F14" s="24">
        <v>70000</v>
      </c>
      <c r="G14">
        <v>42</v>
      </c>
      <c r="H14" s="24">
        <v>48000</v>
      </c>
      <c r="I14">
        <v>4</v>
      </c>
      <c r="J14">
        <v>5</v>
      </c>
      <c r="K14" t="s">
        <v>49</v>
      </c>
      <c r="L14" t="s">
        <v>50</v>
      </c>
      <c r="M14" t="s">
        <v>55</v>
      </c>
      <c r="N14" s="24">
        <f t="shared" si="0"/>
        <v>2988000</v>
      </c>
    </row>
    <row r="15" spans="1:14" x14ac:dyDescent="0.25">
      <c r="A15" t="s">
        <v>26</v>
      </c>
      <c r="B15" t="s">
        <v>32</v>
      </c>
      <c r="C15" t="s">
        <v>45</v>
      </c>
      <c r="D15" t="s">
        <v>48</v>
      </c>
      <c r="E15">
        <v>29</v>
      </c>
      <c r="F15" s="24">
        <v>58000</v>
      </c>
      <c r="G15">
        <v>27</v>
      </c>
      <c r="H15" s="24">
        <v>30000</v>
      </c>
      <c r="I15">
        <v>3</v>
      </c>
      <c r="J15">
        <v>4</v>
      </c>
      <c r="K15" t="s">
        <v>49</v>
      </c>
      <c r="L15" t="s">
        <v>49</v>
      </c>
      <c r="M15" t="s">
        <v>51</v>
      </c>
      <c r="N15" s="24">
        <f t="shared" si="0"/>
        <v>1596000</v>
      </c>
    </row>
    <row r="16" spans="1:14" x14ac:dyDescent="0.25">
      <c r="A16" t="s">
        <v>27</v>
      </c>
      <c r="B16" t="s">
        <v>33</v>
      </c>
      <c r="C16" t="s">
        <v>46</v>
      </c>
      <c r="D16" t="s">
        <v>47</v>
      </c>
      <c r="E16">
        <v>38</v>
      </c>
      <c r="F16" s="24">
        <v>72000</v>
      </c>
      <c r="G16">
        <v>84</v>
      </c>
      <c r="H16" s="24">
        <v>60000</v>
      </c>
      <c r="I16">
        <v>5</v>
      </c>
      <c r="J16">
        <v>5</v>
      </c>
      <c r="K16" t="s">
        <v>49</v>
      </c>
      <c r="L16" t="s">
        <v>49</v>
      </c>
      <c r="M16" t="s">
        <v>51</v>
      </c>
      <c r="N16" s="24">
        <f t="shared" si="0"/>
        <v>6108000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BE1-B981-4184-93C9-E0A8E02B0D3F}">
  <dimension ref="A1:B8"/>
  <sheetViews>
    <sheetView workbookViewId="0"/>
  </sheetViews>
  <sheetFormatPr defaultRowHeight="15" x14ac:dyDescent="0.25"/>
  <cols>
    <col min="1" max="1" width="22.28515625" bestFit="1" customWidth="1"/>
    <col min="2" max="2" width="15.85546875" bestFit="1" customWidth="1"/>
  </cols>
  <sheetData>
    <row r="1" spans="1:2" x14ac:dyDescent="0.25">
      <c r="A1" s="9" t="s">
        <v>57</v>
      </c>
      <c r="B1" s="11" t="s">
        <v>58</v>
      </c>
    </row>
    <row r="2" spans="1:2" x14ac:dyDescent="0.25">
      <c r="A2" s="10" t="s">
        <v>59</v>
      </c>
      <c r="B2" s="12">
        <f>COUNTA(Raw_Data!A2:A16)</f>
        <v>15</v>
      </c>
    </row>
    <row r="3" spans="1:2" x14ac:dyDescent="0.25">
      <c r="A3" s="10" t="s">
        <v>60</v>
      </c>
      <c r="B3" s="12">
        <f>COUNTIF(Raw_Data!L2:L16,"Yes")</f>
        <v>6</v>
      </c>
    </row>
    <row r="4" spans="1:2" x14ac:dyDescent="0.25">
      <c r="A4" s="10" t="s">
        <v>61</v>
      </c>
      <c r="B4" s="13">
        <f>B3/B2</f>
        <v>0.4</v>
      </c>
    </row>
    <row r="5" spans="1:2" x14ac:dyDescent="0.25">
      <c r="A5" s="10" t="s">
        <v>62</v>
      </c>
      <c r="B5" s="14">
        <f>AVERAGE(Raw_Data!F2:F16)</f>
        <v>53066.666666666664</v>
      </c>
    </row>
    <row r="6" spans="1:2" x14ac:dyDescent="0.25">
      <c r="A6" s="10" t="s">
        <v>63</v>
      </c>
      <c r="B6" s="15">
        <f>SUM(Raw_Data!H2:H16)</f>
        <v>544000</v>
      </c>
    </row>
    <row r="7" spans="1:2" x14ac:dyDescent="0.25">
      <c r="A7" s="16" t="s">
        <v>64</v>
      </c>
      <c r="B7" s="17">
        <f>SUM(Raw_Data!N2:N16)</f>
        <v>30602000</v>
      </c>
    </row>
    <row r="8" spans="1:2" x14ac:dyDescent="0.25">
      <c r="A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B9F1-00A2-42F9-8970-C64AF4F590D7}">
  <dimension ref="A1:E13"/>
  <sheetViews>
    <sheetView workbookViewId="0">
      <selection activeCell="O19" sqref="O19"/>
    </sheetView>
  </sheetViews>
  <sheetFormatPr defaultRowHeight="15" x14ac:dyDescent="0.25"/>
  <cols>
    <col min="1" max="1" width="11.7109375" bestFit="1" customWidth="1"/>
    <col min="2" max="2" width="10.7109375" bestFit="1" customWidth="1"/>
    <col min="4" max="4" width="13.7109375" bestFit="1" customWidth="1"/>
  </cols>
  <sheetData>
    <row r="1" spans="1:5" x14ac:dyDescent="0.25">
      <c r="A1" s="4" t="s">
        <v>0</v>
      </c>
      <c r="B1" s="4" t="s">
        <v>65</v>
      </c>
      <c r="C1" s="4" t="s">
        <v>10</v>
      </c>
      <c r="D1" s="4" t="s">
        <v>66</v>
      </c>
      <c r="E1" s="1"/>
    </row>
    <row r="2" spans="1:5" x14ac:dyDescent="0.25">
      <c r="A2" s="5" t="s">
        <v>28</v>
      </c>
      <c r="B2" s="5">
        <f>COUNTIF(Raw_Data!B2:B16,A2)</f>
        <v>4</v>
      </c>
      <c r="C2" s="5">
        <f>COUNTIFS(Raw_Data!B2:B16,A2,Raw_Data!L2:L16,"Yes")</f>
        <v>1</v>
      </c>
      <c r="D2" s="6">
        <f>C2/B2</f>
        <v>0.25</v>
      </c>
    </row>
    <row r="3" spans="1:5" x14ac:dyDescent="0.25">
      <c r="A3" s="5" t="s">
        <v>29</v>
      </c>
      <c r="B3" s="5">
        <f>COUNTIF(Raw_Data!B3:B17,A3)</f>
        <v>3</v>
      </c>
      <c r="C3" s="5">
        <f>COUNTIFS(Raw_Data!B2:B16,A3,Raw_Data!L2:L16,"Yes")</f>
        <v>3</v>
      </c>
      <c r="D3" s="6">
        <f t="shared" ref="D3:D7" si="0">C3/B3</f>
        <v>1</v>
      </c>
    </row>
    <row r="4" spans="1:5" x14ac:dyDescent="0.25">
      <c r="A4" s="5" t="s">
        <v>30</v>
      </c>
      <c r="B4" s="5">
        <f>COUNTIF(Raw_Data!B4:B18,A4)</f>
        <v>2</v>
      </c>
      <c r="C4" s="5">
        <f>COUNTIFS(Raw_Data!B2:B16,A4,Raw_Data!L2:L16,"Yes")</f>
        <v>0</v>
      </c>
      <c r="D4" s="6">
        <f t="shared" si="0"/>
        <v>0</v>
      </c>
    </row>
    <row r="5" spans="1:5" x14ac:dyDescent="0.25">
      <c r="A5" s="5" t="s">
        <v>31</v>
      </c>
      <c r="B5" s="5">
        <f>COUNTIF(Raw_Data!B5:B19,A5)</f>
        <v>2</v>
      </c>
      <c r="C5" s="5">
        <f>COUNTIFS(Raw_Data!B2:B16,A5,Raw_Data!L2:L16,"Yes")</f>
        <v>1</v>
      </c>
      <c r="D5" s="6">
        <f t="shared" si="0"/>
        <v>0.5</v>
      </c>
    </row>
    <row r="6" spans="1:5" x14ac:dyDescent="0.25">
      <c r="A6" s="5" t="s">
        <v>32</v>
      </c>
      <c r="B6" s="5">
        <f>COUNTIF(Raw_Data!B6:B20,A6)</f>
        <v>2</v>
      </c>
      <c r="C6" s="5">
        <f>COUNTIFS(Raw_Data!B2:B16,A6,Raw_Data!L2:L16,"Yes")</f>
        <v>1</v>
      </c>
      <c r="D6" s="6">
        <f t="shared" si="0"/>
        <v>0.5</v>
      </c>
    </row>
    <row r="7" spans="1:5" x14ac:dyDescent="0.25">
      <c r="A7" s="5" t="s">
        <v>33</v>
      </c>
      <c r="B7" s="5">
        <f>COUNTIF(Raw_Data!B7:B21,A7)</f>
        <v>2</v>
      </c>
      <c r="C7" s="5">
        <f>COUNTIFS(Raw_Data!B2:B16,A7,Raw_Data!L2:L16,"Yes")</f>
        <v>0</v>
      </c>
      <c r="D7" s="6">
        <f t="shared" si="0"/>
        <v>0</v>
      </c>
    </row>
    <row r="8" spans="1:5" x14ac:dyDescent="0.25">
      <c r="A8" s="7" t="s">
        <v>67</v>
      </c>
      <c r="B8" s="7">
        <f>SUM(B2:B7)</f>
        <v>15</v>
      </c>
      <c r="C8" s="7">
        <f>SUM(C2:C7)</f>
        <v>6</v>
      </c>
      <c r="D8" s="8">
        <f>C8/B8</f>
        <v>0.4</v>
      </c>
    </row>
    <row r="13" spans="1:5" x14ac:dyDescent="0.25">
      <c r="B13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106F-A4F0-4843-8742-A36B68220A95}">
  <dimension ref="A1:B5"/>
  <sheetViews>
    <sheetView workbookViewId="0">
      <selection activeCell="E12" sqref="E12"/>
    </sheetView>
  </sheetViews>
  <sheetFormatPr defaultRowHeight="15" x14ac:dyDescent="0.25"/>
  <cols>
    <col min="1" max="1" width="18.140625" bestFit="1" customWidth="1"/>
    <col min="2" max="2" width="10.7109375" bestFit="1" customWidth="1"/>
  </cols>
  <sheetData>
    <row r="1" spans="1:2" x14ac:dyDescent="0.25">
      <c r="A1" s="18" t="s">
        <v>68</v>
      </c>
      <c r="B1" s="18" t="s">
        <v>65</v>
      </c>
    </row>
    <row r="2" spans="1:2" x14ac:dyDescent="0.25">
      <c r="A2" s="19" t="s">
        <v>69</v>
      </c>
      <c r="B2" s="20">
        <f>COUNTIF(Raw_Data!M:M,"Work Load")</f>
        <v>2</v>
      </c>
    </row>
    <row r="3" spans="1:2" x14ac:dyDescent="0.25">
      <c r="A3" s="19" t="s">
        <v>54</v>
      </c>
      <c r="B3" s="20">
        <f>COUNTIF(Raw_Data!M:M,"Low Satisfaction")</f>
        <v>2</v>
      </c>
    </row>
    <row r="4" spans="1:2" x14ac:dyDescent="0.25">
      <c r="A4" s="19" t="s">
        <v>53</v>
      </c>
      <c r="B4" s="20">
        <f>COUNTIF(Raw_Data!M:M,"Career Growth")</f>
        <v>1</v>
      </c>
    </row>
    <row r="5" spans="1:2" x14ac:dyDescent="0.25">
      <c r="A5" s="19" t="s">
        <v>55</v>
      </c>
      <c r="B5" s="20">
        <f>COUNTIF(Raw_Data!M:M,"Better Opportunity")</f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88BF-9CD5-49C8-A3EB-4CA62A214117}">
  <dimension ref="A1:D3"/>
  <sheetViews>
    <sheetView workbookViewId="0"/>
  </sheetViews>
  <sheetFormatPr defaultRowHeight="15" x14ac:dyDescent="0.25"/>
  <cols>
    <col min="2" max="2" width="10.7109375" bestFit="1" customWidth="1"/>
    <col min="4" max="4" width="13.140625" bestFit="1" customWidth="1"/>
  </cols>
  <sheetData>
    <row r="1" spans="1:4" x14ac:dyDescent="0.25">
      <c r="A1" s="21" t="s">
        <v>9</v>
      </c>
      <c r="B1" s="21" t="s">
        <v>65</v>
      </c>
      <c r="C1" s="21" t="s">
        <v>10</v>
      </c>
      <c r="D1" s="21" t="s">
        <v>61</v>
      </c>
    </row>
    <row r="2" spans="1:4" x14ac:dyDescent="0.25">
      <c r="A2" s="2" t="s">
        <v>49</v>
      </c>
      <c r="B2" s="2">
        <f>COUNTIF(Raw_Data!K:K,A2)</f>
        <v>10</v>
      </c>
      <c r="C2" s="2" cm="1">
        <f t="array" ref="C2">SUMPRODUCT((Raw_Data!K2:K16=A2)*(Raw_Data!L2:L16="Yes"))</f>
        <v>2</v>
      </c>
      <c r="D2" s="3">
        <f>C2/B2</f>
        <v>0.2</v>
      </c>
    </row>
    <row r="3" spans="1:4" x14ac:dyDescent="0.25">
      <c r="A3" s="2" t="s">
        <v>50</v>
      </c>
      <c r="B3" s="2">
        <f>COUNTIF(Raw_Data!K:K,A3)</f>
        <v>5</v>
      </c>
      <c r="C3" s="2" cm="1">
        <f t="array" ref="C3">SUMPRODUCT((Raw_Data!K2:K16=A3)*(Raw_Data!L2:L16="Yes"))</f>
        <v>4</v>
      </c>
      <c r="D3" s="3">
        <f>C3/B3</f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8142-D1D6-442E-8F56-5B5EC008BA6E}">
  <dimension ref="A1:B6"/>
  <sheetViews>
    <sheetView workbookViewId="0"/>
  </sheetViews>
  <sheetFormatPr defaultRowHeight="15" x14ac:dyDescent="0.25"/>
  <cols>
    <col min="1" max="1" width="34.85546875" bestFit="1" customWidth="1"/>
    <col min="2" max="2" width="11.5703125" bestFit="1" customWidth="1"/>
  </cols>
  <sheetData>
    <row r="1" spans="1:2" x14ac:dyDescent="0.25">
      <c r="A1" s="22" t="s">
        <v>70</v>
      </c>
      <c r="B1" s="22" t="s">
        <v>58</v>
      </c>
    </row>
    <row r="2" spans="1:2" x14ac:dyDescent="0.25">
      <c r="A2" s="12" t="s">
        <v>73</v>
      </c>
      <c r="B2" s="15">
        <f>AVERAGE(Raw_Data!F2:F16)</f>
        <v>53066.666666666664</v>
      </c>
    </row>
    <row r="3" spans="1:2" x14ac:dyDescent="0.25">
      <c r="A3" s="12" t="s">
        <v>71</v>
      </c>
      <c r="B3" s="14">
        <f>MIN(Raw_Data!F2:F16)</f>
        <v>35000</v>
      </c>
    </row>
    <row r="4" spans="1:2" x14ac:dyDescent="0.25">
      <c r="A4" s="12" t="s">
        <v>72</v>
      </c>
      <c r="B4" s="14">
        <f>MAX(Raw_Data!F2:F16)</f>
        <v>75000</v>
      </c>
    </row>
    <row r="5" spans="1:2" x14ac:dyDescent="0.25">
      <c r="A5" s="12" t="s">
        <v>74</v>
      </c>
      <c r="B5" s="23" cm="1">
        <f t="array" ref="B5">SUMPRODUCT((Raw_Data!L2:L16="Yes")*Raw_Data!F2:F16)/SUMPRODUCT(--(Raw_Data!L2:L16="Yes"))</f>
        <v>43500</v>
      </c>
    </row>
    <row r="6" spans="1:2" x14ac:dyDescent="0.25">
      <c r="A6" s="12" t="s">
        <v>75</v>
      </c>
      <c r="B6" s="15" cm="1">
        <f t="array" ref="B6">SUMPRODUCT((Raw_Data!L2:L16="No")*Raw_Data!F2:F16)/SUMPRODUCT(--(Raw_Data!L2:L16="No"))</f>
        <v>59444.444444444445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Analysis</vt:lpstr>
      <vt:lpstr>Department_Analysis</vt:lpstr>
      <vt:lpstr>Attrition_ Reason</vt:lpstr>
      <vt:lpstr>Overtime_ Analysis</vt:lpstr>
      <vt:lpstr>Salary_Analysis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2026-09-08T04:58:43Z</dcterms:created>
  <dcterms:modified xsi:type="dcterms:W3CDTF">2026-09-09T08:08:42Z</dcterms:modified>
</cp:coreProperties>
</file>